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harlie NextCloud\Spyro\Documents\Projects\Cardmarket-Price-Updater\"/>
    </mc:Choice>
  </mc:AlternateContent>
  <xr:revisionPtr revIDLastSave="0" documentId="13_ncr:1_{4AEE72A7-6947-4F05-B1AC-8232EB68E3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d-Eyes Black Dragon Collectio" sheetId="1" r:id="rId1"/>
    <sheet name="Formatting" sheetId="2" r:id="rId2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<sst xmlns="http://schemas.openxmlformats.org/spreadsheetml/2006/main" count="32" uniqueCount="32">
  <si>
    <t>Release Date</t>
  </si>
  <si>
    <t>Set Name</t>
  </si>
  <si>
    <t>Set Code</t>
  </si>
  <si>
    <t>Card Price (£)</t>
  </si>
  <si>
    <t>Price Updated</t>
  </si>
  <si>
    <t>Cardmarket ID</t>
  </si>
  <si>
    <t>Rarity</t>
  </si>
  <si>
    <t>Own?</t>
  </si>
  <si>
    <t>Bought For (£)</t>
  </si>
  <si>
    <t>Collection Value (£)</t>
  </si>
  <si>
    <t>Nike Collaboration Cards (special)</t>
  </si>
  <si>
    <t>NKC1-EN002</t>
  </si>
  <si>
    <t>2025-11-28</t>
  </si>
  <si>
    <t>Prismatic Secret Rare</t>
  </si>
  <si>
    <t>LIMITED</t>
  </si>
  <si>
    <t>Legend of Blue-Eyes White Dragon</t>
  </si>
  <si>
    <t>LOB-001</t>
  </si>
  <si>
    <t>Ultra Rare</t>
  </si>
  <si>
    <t>✖</t>
  </si>
  <si>
    <t>Amount Spent (£)</t>
  </si>
  <si>
    <t>Alpha</t>
  </si>
  <si>
    <t>Rare</t>
  </si>
  <si>
    <t>✔</t>
  </si>
  <si>
    <t>Base Set</t>
  </si>
  <si>
    <t>Holo Rare</t>
  </si>
  <si>
    <t>1st Edition</t>
  </si>
  <si>
    <t>Amount to Complete Collection (£)</t>
  </si>
  <si>
    <t>idproduct</t>
  </si>
  <si>
    <t>Unlimited</t>
  </si>
  <si>
    <t>PSA10</t>
  </si>
  <si>
    <t>PSA9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</si>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</sst>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\£#,##0.00"/>
    <numFmt numFmtId="166" formatCode="£#,##0.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applyFont="1" fillId="0" borderId="0" xfId="0" applyAlignment="1">
      <alignment horizontal="center"/>
    </xf>
    <xf numFmtId="0" fontId="2" applyFont="1" fillId="2" applyFill="1" borderId="0" xfId="0" applyAlignment="1">
      <alignment horizontal="center"/>
    </xf>
    <xf numFmtId="0" fontId="3" applyFont="1" fillId="3" applyFill="1" borderId="0" xfId="0" applyAlignment="1">
      <alignment horizontal="center"/>
    </xf>
    <xf numFmtId="0" fontId="4" applyFont="1" fillId="4" applyFill="1" borderId="0" xfId="0" applyAlignment="1">
      <alignment horizontal="center"/>
    </xf>
    <xf numFmtId="164" applyNumberFormat="1" fontId="0" fillId="0" borderId="0" xfId="0"/>
    <xf numFmtId="0" fontId="1" applyFont="1" fillId="0" borderId="0" xfId="0"/>
    <xf numFmtId="164" applyNumberFormat="1" fontId="6" applyFont="1" fillId="0" borderId="0" xfId="0"/>
    <xf numFmtId="0" fontId="7" applyFont="1" fillId="0" borderId="0" xfId="0"/>
    <xf numFmtId="0" fontId="7" applyFont="1" fillId="0" borderId="0" xfId="0" applyAlignment="1">
      <alignment horizontal="center"/>
    </xf>
    <xf numFmtId="165" applyNumberFormat="1" fontId="6" applyFont="1" fillId="0" borderId="0" xfId="0" applyAlignment="1">
      <alignment horizontal="center"/>
    </xf>
    <xf numFmtId="164" applyNumberFormat="1" fontId="6" applyFont="1" fillId="0" borderId="0" xfId="0" applyAlignment="1">
      <alignment horizontal="center"/>
    </xf>
    <xf numFmtId="164" applyNumberFormat="1" fontId="5" applyFont="1" fillId="0" borderId="0" xfId="0" applyAlignment="1">
      <alignment horizontal="center"/>
    </xf>
    <xf numFmtId="14" applyNumberFormat="1" fontId="1" applyFont="1" fillId="0" borderId="0" xfId="0" applyAlignment="1">
      <alignment horizontal="center"/>
    </xf>
    <xf numFmtId="0" fontId="0" fillId="0" borderId="0" xfId="0" applyAlignment="1">
      <alignment horizontal="center"/>
    </xf>
    <xf numFmtId="0" fontId="8" applyFont="1" fillId="0" borderId="0" xfId="0" applyAlignment="1">
      <alignment horizontal="center"/>
    </xf>
    <xf numFmtId="165" applyNumberFormat="1" fontId="8" applyFont="1" fillId="0" borderId="0" xfId="0" applyAlignment="1">
      <alignment horizontal="center"/>
    </xf>
    <xf numFmtId="0" fontId="9" applyFont="1" fillId="5" applyFill="1" borderId="0" xfId="0" applyAlignment="1">
      <alignment horizontal="center"/>
    </xf>
    <xf numFmtId="0" fontId="10" applyFont="1" fillId="0" borderId="0" xfId="0" applyAlignment="1">
      <alignment horizontal="center"/>
    </xf>
    <xf numFmtId="0" fontId="9" applyFont="1" fillId="6" applyFill="1" borderId="0" xfId="0" applyAlignment="1">
      <alignment horizontal="center"/>
    </xf>
    <xf numFmtId="166" applyNumberFormat="1" fontId="6" applyFont="1" fillId="0" borderId="0" xfId="0" applyAlignment="1">
      <alignment horizontal="center"/>
    </xf>
  </cellXfs>
  <cellStyles count="1">
    <cellStyle name="Normal" xfId="0" builtinId="0"/>
  </cellStyles>
  <dxfs count="12"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AC00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9"/>
  <sheetViews>
    <sheetView tabSelected="1" topLeftCell="B1" workbookViewId="0">
      <selection activeCell="B1" sqref="B1"/>
    </sheetView>
  </sheetViews>
  <sheetFormatPr defaultRowHeight="15" x14ac:dyDescent="0.25"/>
  <cols>
    <col min="1" max="1" bestFit="1" width="12.5703125" customWidth="1"/>
    <col min="2" max="2" bestFit="1" width="31.5703125" customWidth="1" style="6"/>
    <col min="3" max="3" bestFit="1" width="15" customWidth="1" style="8"/>
    <col min="4" max="4" width="13.28515625" customWidth="1" style="7"/>
    <col min="5" max="5" bestFit="1" width="13.7109375" customWidth="1" style="5"/>
    <col min="6" max="6" bestFit="1" width="15.28515625" customWidth="1"/>
    <col min="7" max="7" bestFit="1" width="32.7109375" customWidth="1" style="6"/>
    <col min="8" max="8" bestFit="1" width="10.28515625" customWidth="1" style="1"/>
    <col min="9" max="9" bestFit="1" width="13.5703125" customWidth="1" style="7"/>
    <col min="10" max="10" bestFit="1" width="32.5703125" customWidth="1"/>
    <col min="11" max="12" width="9.140625" customWidth="1"/>
  </cols>
  <sheetData>
    <row r="1">
      <c r="A1" s="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</row>
    <row r="2">
      <c r="A2" s="1">
        <v>2002</v>
      </c>
      <c r="B2" s="1" t="s">
        <v>10</v>
      </c>
      <c r="C2" s="9" t="s">
        <v>11</v>
      </c>
      <c r="D2" s="20">
        <v>552.5</v>
      </c>
      <c r="E2" s="1" t="s">
        <v>12</v>
      </c>
      <c r="F2" s="1">
        <v>845882</v>
      </c>
      <c r="G2" s="1" t="s">
        <v>13</v>
      </c>
      <c r="H2" s="1" t="s">
        <v>14</v>
      </c>
      <c r="I2" s="11">
        <v>200</v>
      </c>
      <c r="J2" s="11">
        <f>SUMIFS(D:D, H:H, "&lt;&gt;✖", H:H, "&lt;&gt;")</f>
        <v>28934.37</v>
      </c>
    </row>
    <row r="3">
      <c r="A3" s="13">
        <v>37323</v>
      </c>
      <c r="B3" s="1" t="s">
        <v>15</v>
      </c>
      <c r="C3" s="9" t="s">
        <v>16</v>
      </c>
      <c r="D3" s="20">
        <v>86.96</v>
      </c>
      <c r="E3" s="1" t="s">
        <v>12</v>
      </c>
      <c r="F3" s="1">
        <v>577919</v>
      </c>
      <c r="G3" s="1" t="s">
        <v>17</v>
      </c>
      <c r="H3" s="1" t="s">
        <v>18</v>
      </c>
      <c r="I3" s="11"/>
      <c r="J3" s="17" t="s">
        <v>19</v>
      </c>
      <c r="K3" s="14"/>
      <c r="L3" s="14"/>
    </row>
    <row r="4">
      <c r="A4" s="13">
        <v>37710</v>
      </c>
      <c r="B4" s="1" t="s">
        <v>20</v>
      </c>
      <c r="C4" s="9"/>
      <c r="D4" s="20">
        <v>26328.87</v>
      </c>
      <c r="E4" s="1" t="s">
        <v>12</v>
      </c>
      <c r="F4" s="1">
        <v>5465</v>
      </c>
      <c r="G4" s="1" t="s">
        <v>21</v>
      </c>
      <c r="H4" s="1" t="s">
        <v>22</v>
      </c>
      <c r="I4" s="11">
        <v>5000</v>
      </c>
      <c r="J4" s="11">
        <f>SUM(I:I)</f>
        <v>6200</v>
      </c>
      <c r="K4" s="14"/>
      <c r="L4" s="14"/>
    </row>
    <row r="5">
      <c r="A5" s="13">
        <v>37956</v>
      </c>
      <c r="B5" s="1" t="s">
        <v>23</v>
      </c>
      <c r="C5" s="9"/>
      <c r="D5" s="20">
        <v>2053</v>
      </c>
      <c r="E5" s="1" t="s">
        <v>12</v>
      </c>
      <c r="F5" s="1">
        <v>660224</v>
      </c>
      <c r="G5" s="1" t="s">
        <v>24</v>
      </c>
      <c r="H5" s="1" t="s">
        <v>25</v>
      </c>
      <c r="I5" s="11">
        <v>1000</v>
      </c>
      <c r="J5" s="17" t="s">
        <v>26</v>
      </c>
      <c r="K5" s="14"/>
      <c r="L5" s="14"/>
    </row>
    <row r="6">
      <c r="A6" s="13">
        <v>38167</v>
      </c>
      <c r="B6" s="1"/>
      <c r="C6" s="9"/>
      <c r="D6" s="10"/>
      <c r="E6" s="1"/>
      <c r="F6" s="1"/>
      <c r="G6" s="1"/>
      <c r="I6" s="11"/>
      <c r="J6" s="12">
        <f>SUM(D:D)-J2</f>
        <v>0</v>
      </c>
      <c r="K6" s="14"/>
      <c r="L6" s="14"/>
    </row>
    <row r="7">
      <c r="A7" s="13">
        <v>38272</v>
      </c>
      <c r="B7" s="1"/>
      <c r="C7" s="9"/>
      <c r="D7" s="10"/>
      <c r="E7" s="1"/>
      <c r="F7" s="1"/>
      <c r="G7" s="1"/>
      <c r="I7" s="11"/>
      <c r="J7" s="14"/>
      <c r="K7" s="14"/>
      <c r="L7" s="14"/>
    </row>
    <row r="8">
      <c r="A8" s="13">
        <v>38353</v>
      </c>
      <c r="B8" s="1"/>
      <c r="C8" s="9"/>
      <c r="D8" s="10"/>
      <c r="E8" s="1"/>
      <c r="F8" s="1"/>
      <c r="G8" s="1"/>
      <c r="I8" s="11"/>
      <c r="J8" s="14"/>
      <c r="K8" s="14"/>
      <c r="L8" s="14"/>
    </row>
    <row r="9">
      <c r="A9" s="13">
        <v>38353</v>
      </c>
      <c r="B9" s="1"/>
      <c r="C9" s="9"/>
      <c r="D9" s="10"/>
      <c r="E9" s="1"/>
      <c r="F9" s="1"/>
      <c r="G9" s="1"/>
      <c r="I9" s="11"/>
      <c r="J9" s="14"/>
      <c r="K9" s="14"/>
      <c r="L9" s="14"/>
    </row>
    <row r="10">
      <c r="A10" s="13">
        <v>38353</v>
      </c>
      <c r="B10" s="1"/>
      <c r="C10" s="9"/>
      <c r="D10" s="10"/>
      <c r="E10" s="1"/>
      <c r="F10" s="1"/>
      <c r="G10" s="1"/>
      <c r="I10" s="11"/>
      <c r="J10" s="14"/>
      <c r="K10" s="14"/>
      <c r="L10" s="14"/>
    </row>
    <row r="11">
      <c r="A11" s="13">
        <v>38353</v>
      </c>
      <c r="B11" s="1"/>
      <c r="C11" s="9"/>
      <c r="D11" s="10"/>
      <c r="E11" s="1"/>
      <c r="F11" s="1"/>
      <c r="G11" s="1"/>
      <c r="I11" s="11"/>
      <c r="J11" s="14"/>
      <c r="K11" s="14"/>
      <c r="L11" s="14"/>
    </row>
    <row r="12">
      <c r="A12" s="13">
        <v>39637</v>
      </c>
      <c r="B12" s="1"/>
      <c r="C12" s="9"/>
      <c r="D12" s="10"/>
      <c r="E12" s="1"/>
      <c r="F12" s="1"/>
      <c r="G12" s="1"/>
      <c r="I12" s="11"/>
      <c r="J12" s="14"/>
      <c r="K12" s="14"/>
      <c r="L12" s="14"/>
    </row>
    <row r="13">
      <c r="A13" s="13">
        <v>39790</v>
      </c>
      <c r="B13" s="1"/>
      <c r="C13" s="9"/>
      <c r="D13" s="10"/>
      <c r="E13" s="1"/>
      <c r="F13" s="1"/>
      <c r="G13" s="1"/>
      <c r="I13" s="11"/>
      <c r="J13" s="14"/>
      <c r="K13" s="14"/>
      <c r="L13" s="14"/>
    </row>
    <row r="14">
      <c r="A14" s="13">
        <v>40452</v>
      </c>
      <c r="B14" s="1"/>
      <c r="C14" s="9"/>
      <c r="D14" s="10"/>
      <c r="E14" s="1"/>
      <c r="F14" s="1"/>
      <c r="G14" s="1"/>
      <c r="I14" s="11"/>
      <c r="J14" s="14"/>
      <c r="K14" s="14"/>
      <c r="L14" s="14"/>
    </row>
    <row r="15">
      <c r="A15" s="13">
        <v>40942</v>
      </c>
      <c r="B15" s="1"/>
      <c r="C15" s="9"/>
      <c r="D15" s="10"/>
      <c r="E15" s="1"/>
      <c r="F15" s="1"/>
      <c r="G15" s="1"/>
      <c r="I15" s="11"/>
      <c r="J15" s="14"/>
      <c r="K15" s="14"/>
      <c r="L15" s="14"/>
    </row>
    <row r="16">
      <c r="A16" s="13">
        <v>41558</v>
      </c>
      <c r="B16" s="1"/>
      <c r="C16" s="9"/>
      <c r="D16" s="10"/>
      <c r="E16" s="1"/>
      <c r="F16" s="1"/>
      <c r="G16" s="1"/>
      <c r="I16" s="11"/>
      <c r="J16" s="14"/>
      <c r="K16" s="14"/>
      <c r="L16" s="14"/>
    </row>
    <row r="17">
      <c r="A17" s="13">
        <v>42174</v>
      </c>
      <c r="B17" s="1"/>
      <c r="C17" s="9"/>
      <c r="D17" s="10"/>
      <c r="E17" s="1"/>
      <c r="F17" s="1"/>
      <c r="G17" s="1"/>
      <c r="I17" s="11"/>
      <c r="J17" s="14"/>
      <c r="K17" s="14"/>
      <c r="L17" s="14"/>
    </row>
    <row r="18">
      <c r="A18" s="13">
        <v>42474</v>
      </c>
      <c r="B18" s="1"/>
      <c r="C18" s="9"/>
      <c r="D18" s="10"/>
      <c r="E18" s="1"/>
      <c r="F18" s="1"/>
      <c r="G18" s="1"/>
      <c r="I18" s="11"/>
      <c r="J18" s="14"/>
      <c r="K18" s="14"/>
      <c r="L18" s="14"/>
    </row>
    <row r="19">
      <c r="A19" s="13">
        <v>42649</v>
      </c>
      <c r="B19" s="1"/>
      <c r="C19" s="9"/>
      <c r="D19" s="10"/>
      <c r="E19" s="1"/>
      <c r="F19" s="1"/>
      <c r="G19" s="1"/>
      <c r="I19" s="11"/>
      <c r="J19" s="14"/>
      <c r="K19" s="14"/>
      <c r="L19" s="14"/>
    </row>
    <row r="20">
      <c r="A20" s="13">
        <v>42985</v>
      </c>
      <c r="B20" s="1"/>
      <c r="C20" s="9"/>
      <c r="D20" s="10"/>
      <c r="E20" s="1"/>
      <c r="F20" s="1"/>
      <c r="G20" s="1"/>
      <c r="I20" s="11"/>
      <c r="J20" s="14"/>
      <c r="K20" s="14"/>
      <c r="L20" s="14"/>
    </row>
    <row r="21">
      <c r="A21" s="13">
        <v>43489</v>
      </c>
      <c r="B21" s="1"/>
      <c r="C21" s="9"/>
      <c r="D21" s="10"/>
      <c r="E21" s="1"/>
      <c r="F21" s="1"/>
      <c r="G21" s="1"/>
      <c r="I21" s="11"/>
      <c r="J21" s="14"/>
      <c r="K21" s="14"/>
      <c r="L21" s="14"/>
    </row>
    <row r="22">
      <c r="A22" s="13">
        <v>43572</v>
      </c>
      <c r="B22" s="1"/>
      <c r="C22" s="9"/>
      <c r="D22" s="10"/>
      <c r="E22" s="1"/>
      <c r="F22" s="1"/>
      <c r="G22" s="1"/>
      <c r="I22" s="11"/>
      <c r="J22" s="14"/>
      <c r="K22" s="14"/>
      <c r="L22" s="14"/>
    </row>
    <row r="23">
      <c r="A23" s="13">
        <v>44014</v>
      </c>
      <c r="B23" s="1"/>
      <c r="C23" s="9"/>
      <c r="D23" s="10"/>
      <c r="E23" s="1"/>
      <c r="F23" s="1"/>
      <c r="G23" s="1"/>
      <c r="I23" s="11"/>
      <c r="J23" s="14"/>
      <c r="K23" s="14"/>
      <c r="L23" s="14"/>
    </row>
    <row r="24">
      <c r="A24" s="13">
        <v>44014</v>
      </c>
      <c r="B24" s="1"/>
      <c r="C24" s="9"/>
      <c r="D24" s="10"/>
      <c r="E24" s="1"/>
      <c r="F24" s="1"/>
      <c r="G24" s="1"/>
      <c r="I24" s="11"/>
      <c r="J24" s="14"/>
      <c r="K24" s="14"/>
      <c r="L24" s="14"/>
    </row>
    <row r="25">
      <c r="A25" s="13">
        <v>44014</v>
      </c>
      <c r="B25" s="1"/>
      <c r="C25" s="9"/>
      <c r="D25" s="10"/>
      <c r="E25" s="1"/>
      <c r="F25" s="1"/>
      <c r="G25" s="1"/>
      <c r="I25" s="11"/>
      <c r="J25" s="14"/>
      <c r="K25" s="14"/>
      <c r="L25" s="14"/>
    </row>
    <row r="26">
      <c r="A26" s="13">
        <v>44042</v>
      </c>
      <c r="B26" s="1"/>
      <c r="C26" s="15"/>
      <c r="D26" s="10"/>
      <c r="E26" s="1"/>
      <c r="F26" s="1"/>
      <c r="G26" s="1"/>
      <c r="I26" s="11"/>
      <c r="J26" s="14"/>
      <c r="K26" s="14"/>
      <c r="L26" s="14"/>
    </row>
    <row r="27">
      <c r="A27" s="13">
        <v>44147</v>
      </c>
      <c r="B27" s="1"/>
      <c r="C27" s="9"/>
      <c r="D27" s="10"/>
      <c r="E27" s="1"/>
      <c r="F27" s="1"/>
      <c r="G27" s="1"/>
      <c r="I27" s="11"/>
      <c r="J27" s="14"/>
      <c r="K27" s="14"/>
      <c r="L27" s="14"/>
    </row>
    <row r="28">
      <c r="A28" s="13">
        <v>44161</v>
      </c>
      <c r="B28" s="1"/>
      <c r="C28" s="9"/>
      <c r="D28" s="10"/>
      <c r="E28" s="1"/>
      <c r="F28" s="1"/>
      <c r="G28" s="1"/>
      <c r="I28" s="11"/>
      <c r="J28" s="14"/>
      <c r="K28" s="14"/>
      <c r="L28" s="14"/>
    </row>
    <row r="29">
      <c r="A29" s="13">
        <v>44161</v>
      </c>
      <c r="B29" s="1"/>
      <c r="C29" s="9"/>
      <c r="D29" s="10"/>
      <c r="E29" s="1"/>
      <c r="F29" s="1"/>
      <c r="G29" s="1"/>
      <c r="I29" s="11"/>
      <c r="J29" s="14"/>
      <c r="K29" s="14"/>
      <c r="L29" s="14"/>
    </row>
    <row r="30">
      <c r="A30" s="13">
        <v>44518</v>
      </c>
      <c r="B30" s="1"/>
      <c r="C30" s="9"/>
      <c r="D30" s="10"/>
      <c r="E30" s="1"/>
      <c r="F30" s="1"/>
      <c r="G30" s="1"/>
      <c r="I30" s="11"/>
      <c r="J30" s="14"/>
      <c r="K30" s="14"/>
      <c r="L30" s="14"/>
    </row>
    <row r="31">
      <c r="A31" s="13">
        <v>44541</v>
      </c>
      <c r="B31" s="1"/>
      <c r="C31" s="15"/>
      <c r="D31" s="10"/>
      <c r="E31" s="1"/>
      <c r="F31" s="1"/>
      <c r="G31" s="1"/>
      <c r="I31" s="11"/>
      <c r="J31" s="14"/>
      <c r="K31" s="14"/>
      <c r="L31" s="14"/>
    </row>
    <row r="32">
      <c r="A32" s="13">
        <v>44630</v>
      </c>
      <c r="B32" s="1"/>
      <c r="C32" s="9"/>
      <c r="D32" s="10"/>
      <c r="E32" s="1"/>
      <c r="F32" s="1"/>
      <c r="G32" s="1"/>
      <c r="I32" s="11"/>
      <c r="J32" s="14"/>
      <c r="K32" s="14"/>
      <c r="L32" s="14"/>
    </row>
    <row r="33">
      <c r="A33" s="13">
        <v>44686</v>
      </c>
      <c r="B33" s="1"/>
      <c r="C33" s="9"/>
      <c r="D33" s="10"/>
      <c r="E33" s="1"/>
      <c r="F33" s="1"/>
      <c r="G33" s="1"/>
      <c r="I33" s="11"/>
      <c r="J33" s="14"/>
      <c r="K33" s="14"/>
      <c r="L33" s="14"/>
    </row>
    <row r="34">
      <c r="A34" s="13">
        <v>44819</v>
      </c>
      <c r="B34" s="1"/>
      <c r="C34" s="9"/>
      <c r="D34" s="10"/>
      <c r="E34" s="1"/>
      <c r="F34" s="1"/>
      <c r="G34" s="1"/>
      <c r="I34" s="11"/>
      <c r="J34" s="14"/>
      <c r="K34" s="14"/>
      <c r="L34" s="14"/>
    </row>
    <row r="35">
      <c r="A35" s="13">
        <v>44868</v>
      </c>
      <c r="B35" s="1"/>
      <c r="C35" s="9"/>
      <c r="D35" s="10"/>
      <c r="E35" s="1"/>
      <c r="F35" s="1"/>
      <c r="G35" s="1"/>
      <c r="I35" s="11"/>
      <c r="J35" s="14"/>
      <c r="K35" s="14"/>
      <c r="L35" s="14"/>
    </row>
    <row r="36">
      <c r="A36" s="13">
        <v>44868</v>
      </c>
      <c r="B36" s="1"/>
      <c r="C36" s="9"/>
      <c r="D36" s="10"/>
      <c r="E36" s="1"/>
      <c r="F36" s="1"/>
      <c r="G36" s="1"/>
      <c r="I36" s="11"/>
      <c r="J36" s="14"/>
      <c r="K36" s="14"/>
      <c r="L36" s="14"/>
    </row>
    <row r="37">
      <c r="A37" s="13">
        <v>44896</v>
      </c>
      <c r="B37" s="1"/>
      <c r="C37" s="15"/>
      <c r="D37" s="10"/>
      <c r="E37" s="1"/>
      <c r="F37" s="1"/>
      <c r="G37" s="1"/>
      <c r="I37" s="11"/>
      <c r="J37" s="14"/>
      <c r="K37" s="14"/>
      <c r="L37" s="14"/>
    </row>
    <row r="38">
      <c r="A38" s="13">
        <v>45015</v>
      </c>
      <c r="B38" s="1"/>
      <c r="C38" s="9"/>
      <c r="D38" s="10"/>
      <c r="E38" s="1"/>
      <c r="F38" s="1"/>
      <c r="G38" s="1"/>
      <c r="I38" s="11"/>
      <c r="J38" s="14"/>
      <c r="K38" s="14"/>
      <c r="L38" s="14"/>
    </row>
    <row r="39">
      <c r="A39" s="13">
        <v>45036</v>
      </c>
      <c r="B39" s="1"/>
      <c r="C39" s="9"/>
      <c r="D39" s="10"/>
      <c r="E39" s="1"/>
      <c r="F39" s="1"/>
      <c r="G39" s="1"/>
      <c r="I39" s="11"/>
      <c r="J39" s="14"/>
      <c r="K39" s="14"/>
      <c r="L39" s="14"/>
    </row>
    <row r="40">
      <c r="A40" s="13">
        <v>45036</v>
      </c>
      <c r="B40" s="1"/>
      <c r="C40" s="9"/>
      <c r="D40" s="10"/>
      <c r="E40" s="1"/>
      <c r="F40" s="1"/>
      <c r="G40" s="1"/>
      <c r="I40" s="11"/>
      <c r="J40" s="14"/>
      <c r="K40" s="14"/>
      <c r="L40" s="14"/>
    </row>
    <row r="41">
      <c r="A41" s="13">
        <v>45036</v>
      </c>
      <c r="B41" s="1"/>
      <c r="C41" s="9"/>
      <c r="D41" s="10"/>
      <c r="E41" s="1"/>
      <c r="F41" s="1"/>
      <c r="G41" s="1"/>
      <c r="I41" s="11"/>
      <c r="J41" s="14"/>
      <c r="K41" s="14"/>
      <c r="L41" s="14"/>
    </row>
    <row r="42">
      <c r="A42" s="13">
        <v>45059</v>
      </c>
      <c r="B42" s="1"/>
      <c r="C42" s="16"/>
      <c r="D42" s="11"/>
      <c r="E42" s="1"/>
      <c r="F42" s="1"/>
      <c r="G42" s="1"/>
      <c r="I42" s="11"/>
      <c r="J42" s="14"/>
      <c r="K42" s="14"/>
      <c r="L42" s="14"/>
    </row>
    <row r="43">
      <c r="A43" s="13">
        <v>45161</v>
      </c>
      <c r="B43" s="1"/>
      <c r="C43" s="9"/>
      <c r="D43" s="10"/>
      <c r="E43" s="1"/>
      <c r="F43" s="1"/>
      <c r="G43" s="1"/>
      <c r="I43" s="11"/>
      <c r="J43" s="14"/>
      <c r="K43" s="14"/>
      <c r="L43" s="14"/>
    </row>
    <row r="44">
      <c r="A44" s="13">
        <v>45161</v>
      </c>
      <c r="B44" s="1"/>
      <c r="C44" s="9"/>
      <c r="D44" s="10"/>
      <c r="E44" s="1"/>
      <c r="F44" s="1"/>
      <c r="G44" s="1"/>
      <c r="I44" s="11"/>
      <c r="J44" s="14"/>
      <c r="K44" s="14"/>
      <c r="L44" s="14"/>
    </row>
    <row r="45">
      <c r="A45" s="13">
        <v>45176</v>
      </c>
      <c r="B45" s="1"/>
      <c r="C45" s="9"/>
      <c r="D45" s="10"/>
      <c r="E45" s="1"/>
      <c r="F45" s="1"/>
      <c r="G45" s="1"/>
      <c r="I45" s="11"/>
      <c r="J45" s="14"/>
      <c r="K45" s="14"/>
      <c r="L45" s="14"/>
    </row>
    <row r="46">
      <c r="A46" s="13">
        <v>45297</v>
      </c>
      <c r="B46" s="1"/>
      <c r="C46" s="16"/>
      <c r="D46" s="11"/>
      <c r="E46" s="1"/>
      <c r="F46" s="1"/>
      <c r="G46" s="1"/>
      <c r="I46" s="11"/>
      <c r="J46" s="14"/>
      <c r="K46" s="14"/>
      <c r="L46" s="14"/>
    </row>
    <row r="47">
      <c r="A47" s="13">
        <v>45512</v>
      </c>
      <c r="B47" s="1"/>
      <c r="C47" s="18"/>
      <c r="D47" s="10"/>
      <c r="E47" s="1"/>
      <c r="F47" s="1"/>
      <c r="G47" s="1"/>
      <c r="I47" s="11"/>
      <c r="J47" s="14"/>
      <c r="K47" s="14"/>
      <c r="L47" s="14"/>
    </row>
    <row r="48">
      <c r="A48" s="13">
        <v>45554</v>
      </c>
      <c r="B48" s="1"/>
      <c r="C48" s="9"/>
      <c r="D48" s="10"/>
      <c r="E48" s="1"/>
      <c r="F48" s="1"/>
      <c r="G48" s="1"/>
      <c r="I48" s="11"/>
      <c r="J48" s="14"/>
      <c r="K48" s="14"/>
      <c r="L48" s="14"/>
    </row>
    <row r="49">
      <c r="A49" s="13">
        <v>45603</v>
      </c>
      <c r="B49" s="1"/>
      <c r="C49" s="9"/>
      <c r="D49" s="10"/>
      <c r="E49" s="1"/>
      <c r="F49" s="1"/>
      <c r="G49" s="1"/>
      <c r="I49" s="11"/>
      <c r="J49" s="14"/>
      <c r="K49" s="14"/>
      <c r="L49" s="14"/>
    </row>
    <row r="50">
      <c r="A50" s="13">
        <v>45603</v>
      </c>
      <c r="B50" s="1"/>
      <c r="C50" s="9"/>
      <c r="D50" s="10"/>
      <c r="E50" s="1"/>
      <c r="F50" s="1"/>
      <c r="G50" s="1"/>
      <c r="I50" s="11"/>
      <c r="J50" s="14"/>
      <c r="K50" s="14"/>
      <c r="L50" s="14"/>
    </row>
    <row r="51">
      <c r="A51" s="13">
        <v>45639</v>
      </c>
      <c r="B51" s="1"/>
      <c r="C51" s="9"/>
      <c r="D51" s="10"/>
      <c r="E51" s="1"/>
      <c r="F51" s="1"/>
      <c r="G51" s="1"/>
      <c r="I51" s="11"/>
      <c r="J51" s="14"/>
      <c r="K51" s="14"/>
      <c r="L51" s="14"/>
    </row>
    <row r="52">
      <c r="A52" s="13">
        <v>45668</v>
      </c>
      <c r="B52" s="1"/>
      <c r="C52" s="15"/>
      <c r="D52" s="10"/>
      <c r="E52" s="1"/>
      <c r="F52" s="1"/>
      <c r="G52" s="1"/>
      <c r="I52" s="11"/>
      <c r="J52" s="14"/>
      <c r="K52" s="14"/>
      <c r="L52" s="14"/>
    </row>
    <row r="53">
      <c r="A53" s="13">
        <v>45757</v>
      </c>
      <c r="B53" s="1"/>
      <c r="C53" s="9"/>
      <c r="D53" s="10"/>
      <c r="E53" s="1"/>
      <c r="F53" s="1"/>
      <c r="G53" s="1"/>
      <c r="I53" s="11"/>
      <c r="J53" s="14"/>
      <c r="K53" s="14"/>
      <c r="L53" s="14"/>
    </row>
    <row r="54">
      <c r="A54" s="13">
        <v>45757</v>
      </c>
      <c r="B54" s="1"/>
      <c r="C54" s="9"/>
      <c r="D54" s="10"/>
      <c r="E54" s="1"/>
      <c r="F54" s="1"/>
      <c r="G54" s="1"/>
      <c r="I54" s="11"/>
      <c r="J54" s="14"/>
      <c r="K54" s="14"/>
      <c r="L54" s="14"/>
    </row>
    <row r="55">
      <c r="A55" s="13">
        <v>45757</v>
      </c>
      <c r="B55" s="1"/>
      <c r="C55" s="9"/>
      <c r="D55" s="10"/>
      <c r="E55" s="1"/>
      <c r="F55" s="1"/>
      <c r="G55" s="1"/>
      <c r="I55" s="11"/>
      <c r="J55" s="14"/>
      <c r="K55" s="14"/>
      <c r="L55" s="14"/>
    </row>
    <row r="56">
      <c r="A56" s="13">
        <v>45757</v>
      </c>
      <c r="B56" s="1"/>
      <c r="C56" s="9"/>
      <c r="D56" s="10"/>
      <c r="E56" s="1"/>
      <c r="F56" s="1"/>
      <c r="G56" s="1"/>
      <c r="I56" s="11"/>
      <c r="J56" s="14"/>
      <c r="K56" s="14"/>
      <c r="L56" s="14"/>
    </row>
    <row r="57">
      <c r="A57" s="13">
        <v>45757</v>
      </c>
      <c r="B57" s="1"/>
      <c r="C57" s="9"/>
      <c r="D57" s="10"/>
      <c r="E57" s="1"/>
      <c r="F57" s="1"/>
      <c r="G57" s="1"/>
      <c r="I57" s="11"/>
      <c r="J57" s="14"/>
      <c r="K57" s="14"/>
      <c r="L57" s="14"/>
    </row>
    <row r="58">
      <c r="A58" s="13">
        <v>45757</v>
      </c>
      <c r="B58" s="1"/>
      <c r="C58" s="9"/>
      <c r="D58" s="10"/>
      <c r="E58" s="1"/>
      <c r="F58" s="1"/>
      <c r="G58" s="1"/>
      <c r="I58" s="11"/>
      <c r="J58" s="14"/>
      <c r="K58" s="14"/>
      <c r="L58" s="14"/>
    </row>
    <row r="59">
      <c r="A59" s="13">
        <v>45912</v>
      </c>
      <c r="B59" s="1"/>
      <c r="C59" s="9"/>
      <c r="D59" s="10"/>
      <c r="E59" s="1"/>
      <c r="F59" s="1"/>
      <c r="G59" s="1"/>
      <c r="I59" s="11"/>
      <c r="J59" s="14"/>
      <c r="K59" s="14"/>
      <c r="L59" s="14"/>
    </row>
  </sheetData>
  <conditionalFormatting sqref="D2:D59">
    <cfRule type="aboveAverage" dxfId="7" priority="1" aboveAverage="0"/>
    <cfRule type="aboveAverage" dxfId="8" priority="2"/>
  </conditionalFormatting>
  <conditionalFormatting sqref="H2:H1048576">
    <cfRule type="containsText" dxfId="9" priority="5" operator="containsText" text="✖">
      <formula>NOT(ISERROR(SEARCH("✖",H2)))</formula>
    </cfRule>
    <cfRule type="containsText" dxfId="10" priority="6" operator="containsText" text="Unlimited">
      <formula>NOT(ISERROR(SEARCH("Unlimited",H2)))</formula>
    </cfRule>
    <cfRule type="containsText" dxfId="11" priority="7" operator="containsText" text="LIMITED">
      <formula>NOT(ISERROR(SEARCH("LIMITED",H2)))</formula>
    </cfRule>
    <cfRule type="containsText" dxfId="11" priority="8" operator="containsText" text="✔">
      <formula>NOT(ISERROR(SEARCH("✔",H2)))</formula>
    </cfRule>
    <cfRule type="containsText" dxfId="11" priority="9" operator="containsText" text="1st Edition">
      <formula>NOT(ISERROR(SEARCH("1st Edition",H2)))</formula>
    </cfRule>
  </conditionalFormatting>
  <pageMargins left="0.7" right="0.7" top="0.75" bottom="0.75" header="0.3" footer="0.3"/>
  <pageSetup paperSize="9" orientation="portrait" verticalDpi="0"/>
  <headerFooter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A381A-D322-41F2-B8C0-D79AC25BC575}">
          <x14:formula1>
            <xm:f>Formatting!$A$1:$A$8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E9" sqref="E9"/>
    </sheetView>
  </sheetViews>
  <sheetFormatPr defaultRowHeight="15" x14ac:dyDescent="0.25"/>
  <cols>
    <col min="1" max="1" bestFit="1" width="10.28515625" customWidth="1"/>
    <col min="2" max="2" bestFit="1" width="9.5703125" customWidth="1"/>
  </cols>
  <sheetData>
    <row r="1">
      <c r="A1" s="3" t="s">
        <v>25</v>
      </c>
      <c r="B1" s="6" t="s">
        <v>27</v>
      </c>
    </row>
    <row r="2">
      <c r="A2" s="4" t="s">
        <v>28</v>
      </c>
    </row>
    <row r="3">
      <c r="A3" s="2" t="s">
        <v>18</v>
      </c>
    </row>
    <row r="4">
      <c r="A4" s="3" t="s">
        <v>14</v>
      </c>
    </row>
    <row r="5">
      <c r="A5" s="3" t="s">
        <v>22</v>
      </c>
    </row>
    <row r="6">
      <c r="A6" s="19" t="s">
        <v>29</v>
      </c>
    </row>
    <row r="7">
      <c r="A7" s="19" t="s">
        <v>30</v>
      </c>
    </row>
    <row r="8">
      <c r="A8" s="19" t="s">
        <v>31</v>
      </c>
    </row>
  </sheetData>
  <pageMargins left="0.7" right="0.7" top="0.75" bottom="0.75" header="0.3" footer="0.3"/>
  <headerFooter/>
</worksheet>
</file>

<file path=EPPlusLicense.txt>This workbook was created with the EPPlus library, licensed to ProfessorShroom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Red-Eyes Black Dragon Collectio</vt:lpstr>
      <vt:lpstr>Formatting</vt:lpstr>
    </vt:vector>
  </TitlesOfParts>
  <LinksUpToDate>false</LinksUpToDate>
  <SharedDoc>false</SharedDoc>
  <HyperlinksChanged>false</HyperlinksChanged>
  <AppVersion>8.3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ProfessorShroom</dc:creator>
  <cp:keywords>EPPlus noncommercial use</cp:keywords>
  <dc:description>This workbook has been created with EPPlus licensed to ProfessorShroom under The Polyform Noncommercial License: See https://polyformproject.org/licenses/noncommercial/1.0.0</dc:description>
  <cp:lastModifiedBy>Charlie</cp:lastModifiedBy>
  <dcterms:created xsi:type="dcterms:W3CDTF">2025-09-22T08:07:10Z</dcterms:created>
  <dcterms:modified xsi:type="dcterms:W3CDTF">2025-11-28T10:43:38Z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