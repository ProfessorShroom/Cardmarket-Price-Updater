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Charlie NextCloud\Spyro\Documents\Projects\Cardmarket-Price-Updater\"/>
    </mc:Choice>
  </mc:AlternateContent>
  <xr:revisionPtr revIDLastSave="0" documentId="13_ncr:1_{000B23DD-0E08-43E1-A51E-978F9737327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d-Eyes Black Dragon Collectio" sheetId="1" r:id="rId1"/>
    <sheet name="Formattin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6" i="1" l="1"/>
  <c r="K2" i="1"/>
  <c r="K4" i="1"/>
</calcChain>
</file>

<file path=xl/sharedStrings.xml><?xml version="1.0" encoding="utf-8"?>
<sst xmlns="http://schemas.openxmlformats.org/spreadsheetml/2006/main" count="47" uniqueCount="36">
  <si>
    <t>Release Date</t>
  </si>
  <si>
    <t>Game</t>
  </si>
  <si>
    <t>Set Name</t>
  </si>
  <si>
    <t>Set Code</t>
  </si>
  <si>
    <t>Card Price (£)</t>
  </si>
  <si>
    <t>Price Updated</t>
  </si>
  <si>
    <t>Cardmarket ID</t>
  </si>
  <si>
    <t>Rarity</t>
  </si>
  <si>
    <t>Own?</t>
  </si>
  <si>
    <t>Bought For (£)</t>
  </si>
  <si>
    <t>Collection Value (£)</t>
  </si>
  <si>
    <t>Yu-Gi-Oh!</t>
  </si>
  <si>
    <t>Nike Collaboration Cards (special)</t>
  </si>
  <si>
    <t>NKC1-EN002</t>
  </si>
  <si>
    <t>2025-11-29</t>
  </si>
  <si>
    <t>Prismatic Secret Rare</t>
  </si>
  <si>
    <t>LIMITED</t>
  </si>
  <si>
    <t>Legend of Blue-Eyes White Dragon</t>
  </si>
  <si>
    <t>LOB-001</t>
  </si>
  <si>
    <t>Ultra Rare</t>
  </si>
  <si>
    <t>✖</t>
  </si>
  <si>
    <t>Amount Spent (£)</t>
  </si>
  <si>
    <t>MTG</t>
  </si>
  <si>
    <t>Alpha</t>
  </si>
  <si>
    <t>Rare</t>
  </si>
  <si>
    <t>✔</t>
  </si>
  <si>
    <t>Pokémon</t>
  </si>
  <si>
    <t>Base Set</t>
  </si>
  <si>
    <t>Holo Rare</t>
  </si>
  <si>
    <t>1st Edition</t>
  </si>
  <si>
    <t>Amount to Complete Collection (£)</t>
  </si>
  <si>
    <t>idproduct</t>
  </si>
  <si>
    <t>Unlimited</t>
  </si>
  <si>
    <t>PSA10</t>
  </si>
  <si>
    <t>PSA9</t>
  </si>
  <si>
    <t>PSA8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</si>
</sst>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£&quot;#,##0.00"/>
    <numFmt numFmtId="165" formatCode="\£#,##0.0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color rgb="FF92D050"/>
      <name val="Calibri"/>
      <family val="2"/>
      <scheme val="minor"/>
    </font>
    <font>
      <b/>
      <sz val="11"/>
      <color theme="7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theme="4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7030A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164" fontId="0" fillId="0" borderId="0" xfId="0" applyNumberFormat="1"/>
    <xf numFmtId="0" fontId="1" fillId="0" borderId="0" xfId="0" applyFont="1"/>
    <xf numFmtId="164" fontId="6" fillId="0" borderId="0" xfId="0" applyNumberFormat="1" applyFont="1"/>
    <xf numFmtId="0" fontId="7" fillId="0" borderId="0" xfId="0" applyFont="1"/>
    <xf numFmtId="0" fontId="7" fillId="0" borderId="0" xfId="0" applyFont="1" applyAlignment="1">
      <alignment horizontal="center"/>
    </xf>
    <xf numFmtId="165" fontId="6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center"/>
    </xf>
    <xf numFmtId="14" fontId="1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65" fontId="8" fillId="0" borderId="0" xfId="0" applyNumberFormat="1" applyFont="1" applyAlignment="1">
      <alignment horizontal="center"/>
    </xf>
    <xf numFmtId="0" fontId="9" fillId="5" borderId="0" xfId="0" applyFont="1" applyFill="1" applyAlignment="1">
      <alignment horizontal="center"/>
    </xf>
    <xf numFmtId="0" fontId="10" fillId="0" borderId="0" xfId="0" applyFont="1" applyAlignment="1">
      <alignment horizontal="center"/>
    </xf>
    <xf numFmtId="0" fontId="9" fillId="6" borderId="0" xfId="0" applyFont="1" applyFill="1" applyAlignment="1">
      <alignment horizontal="center"/>
    </xf>
  </cellXfs>
  <cellStyles count="1">
    <cellStyle name="Normal" xfId="0" builtinId="0"/>
  </cellStyles>
  <dxfs count="7">
    <dxf>
      <font>
        <color rgb="FF92D050"/>
      </font>
      <fill>
        <patternFill patternType="solid">
          <bgColor rgb="FF00B050"/>
        </patternFill>
      </fill>
    </dxf>
    <dxf>
      <font>
        <color rgb="FF92D050"/>
      </font>
      <fill>
        <patternFill patternType="solid">
          <bgColor rgb="FF00B050"/>
        </patternFill>
      </fill>
    </dxf>
    <dxf>
      <font>
        <color rgb="FF92D050"/>
      </font>
      <fill>
        <patternFill patternType="solid">
          <bgColor rgb="FF00B050"/>
        </patternFill>
      </fill>
    </dxf>
    <dxf>
      <font>
        <color theme="7"/>
      </font>
      <fill>
        <patternFill patternType="solid">
          <bgColor theme="7" tint="0.39994506668294322"/>
        </patternFill>
      </fill>
    </dxf>
    <dxf>
      <font>
        <color rgb="FFC00000"/>
      </font>
      <fill>
        <patternFill patternType="solid">
          <bgColor rgb="FFFF0000"/>
        </patternFill>
      </fill>
    </dxf>
    <dxf>
      <font>
        <color rgb="FFFF0000"/>
      </font>
    </dxf>
    <dxf>
      <font>
        <color rgb="FF00B050"/>
      </font>
    </dxf>
  </dxfs>
  <tableStyles count="0" defaultTableStyle="TableStyleMedium2" defaultPivotStyle="PivotStyleLight16"/>
  <colors>
    <mruColors>
      <color rgb="FFAC008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9"/>
  <sheetViews>
    <sheetView tabSelected="1" workbookViewId="0">
      <selection activeCell="G30" sqref="G30"/>
    </sheetView>
  </sheetViews>
  <sheetFormatPr defaultRowHeight="15" x14ac:dyDescent="0.25"/>
  <cols>
    <col min="1" max="1" width="12.5703125" bestFit="1" customWidth="1"/>
    <col min="2" max="2" width="12.5703125" customWidth="1"/>
    <col min="3" max="3" width="31.5703125" style="6" bestFit="1" customWidth="1"/>
    <col min="4" max="4" width="15" style="8" bestFit="1" customWidth="1"/>
    <col min="5" max="5" width="13.28515625" style="7" customWidth="1"/>
    <col min="6" max="6" width="13.7109375" style="5" bestFit="1" customWidth="1"/>
    <col min="7" max="7" width="15.28515625" bestFit="1" customWidth="1"/>
    <col min="8" max="8" width="32.7109375" style="6" bestFit="1" customWidth="1"/>
    <col min="9" max="9" width="10.28515625" style="1" bestFit="1" customWidth="1"/>
    <col min="10" max="10" width="13.5703125" style="7" bestFit="1" customWidth="1"/>
    <col min="11" max="11" width="32.5703125" bestFit="1" customWidth="1"/>
    <col min="12" max="13" width="9.140625" customWidth="1"/>
  </cols>
  <sheetData>
    <row r="1" spans="1:13" x14ac:dyDescent="0.25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</row>
    <row r="2" spans="1:13" x14ac:dyDescent="0.25">
      <c r="A2" s="13">
        <v>45912</v>
      </c>
      <c r="B2" s="13" t="s">
        <v>11</v>
      </c>
      <c r="C2" s="1" t="s">
        <v>12</v>
      </c>
      <c r="D2" s="9" t="s">
        <v>13</v>
      </c>
      <c r="E2" s="10">
        <v>552.5</v>
      </c>
      <c r="F2" s="1" t="s">
        <v>14</v>
      </c>
      <c r="G2" s="1">
        <v>845882</v>
      </c>
      <c r="H2" s="1" t="s">
        <v>15</v>
      </c>
      <c r="I2" s="1" t="s">
        <v>16</v>
      </c>
      <c r="J2" s="11">
        <v>200</v>
      </c>
      <c r="K2" s="11">
        <f>SUMIFS(E:E, I:I, "&lt;&gt;✖", I:I, "&lt;&gt;")</f>
        <v>28934.37</v>
      </c>
    </row>
    <row r="3" spans="1:13" x14ac:dyDescent="0.25">
      <c r="A3" s="13">
        <v>37323</v>
      </c>
      <c r="B3" s="13" t="s">
        <v>11</v>
      </c>
      <c r="C3" s="1" t="s">
        <v>17</v>
      </c>
      <c r="D3" s="9" t="s">
        <v>18</v>
      </c>
      <c r="E3" s="10">
        <v>74.489999999999995</v>
      </c>
      <c r="F3" s="1" t="s">
        <v>14</v>
      </c>
      <c r="G3" s="1">
        <v>577919</v>
      </c>
      <c r="H3" s="1" t="s">
        <v>19</v>
      </c>
      <c r="I3" s="1" t="s">
        <v>20</v>
      </c>
      <c r="J3" s="11"/>
      <c r="K3" s="17" t="s">
        <v>21</v>
      </c>
      <c r="L3" s="14"/>
      <c r="M3" s="14"/>
    </row>
    <row r="4" spans="1:13" x14ac:dyDescent="0.25">
      <c r="A4" s="13">
        <v>34186</v>
      </c>
      <c r="B4" s="13" t="s">
        <v>22</v>
      </c>
      <c r="C4" s="1" t="s">
        <v>23</v>
      </c>
      <c r="D4" s="9"/>
      <c r="E4" s="10">
        <v>26328.87</v>
      </c>
      <c r="F4" s="1" t="s">
        <v>14</v>
      </c>
      <c r="G4" s="1">
        <v>5465</v>
      </c>
      <c r="H4" s="1" t="s">
        <v>24</v>
      </c>
      <c r="I4" s="1" t="s">
        <v>25</v>
      </c>
      <c r="J4" s="11">
        <v>5000</v>
      </c>
      <c r="K4" s="11">
        <f>SUM(J:J)</f>
        <v>6200</v>
      </c>
      <c r="L4" s="14"/>
      <c r="M4" s="14"/>
    </row>
    <row r="5" spans="1:13" x14ac:dyDescent="0.25">
      <c r="A5" s="13">
        <v>36169</v>
      </c>
      <c r="B5" s="13" t="s">
        <v>26</v>
      </c>
      <c r="C5" s="1" t="s">
        <v>27</v>
      </c>
      <c r="D5" s="9"/>
      <c r="E5" s="10">
        <v>2053</v>
      </c>
      <c r="F5" s="1" t="s">
        <v>14</v>
      </c>
      <c r="G5" s="1">
        <v>660224</v>
      </c>
      <c r="H5" s="1" t="s">
        <v>28</v>
      </c>
      <c r="I5" s="1" t="s">
        <v>29</v>
      </c>
      <c r="J5" s="11">
        <v>1000</v>
      </c>
      <c r="K5" s="17" t="s">
        <v>30</v>
      </c>
      <c r="L5" s="14"/>
      <c r="M5" s="14"/>
    </row>
    <row r="6" spans="1:13" x14ac:dyDescent="0.25">
      <c r="A6" s="13"/>
      <c r="B6" s="13"/>
      <c r="C6" s="1"/>
      <c r="D6" s="9"/>
      <c r="E6" s="10"/>
      <c r="F6" s="1"/>
      <c r="G6" s="1"/>
      <c r="H6" s="1"/>
      <c r="J6" s="11"/>
      <c r="K6" s="12">
        <f>SUM(E:E)-K2</f>
        <v>74.490000000001601</v>
      </c>
      <c r="L6" s="14"/>
      <c r="M6" s="14"/>
    </row>
    <row r="7" spans="1:13" x14ac:dyDescent="0.25">
      <c r="A7" s="13"/>
      <c r="B7" s="13"/>
      <c r="C7" s="1"/>
      <c r="D7" s="9"/>
      <c r="E7" s="10"/>
      <c r="F7" s="1"/>
      <c r="G7" s="1"/>
      <c r="H7" s="1"/>
      <c r="J7" s="11"/>
      <c r="K7" s="14"/>
      <c r="L7" s="14"/>
      <c r="M7" s="14"/>
    </row>
    <row r="8" spans="1:13" x14ac:dyDescent="0.25">
      <c r="A8" s="13"/>
      <c r="B8" s="13"/>
      <c r="C8" s="1"/>
      <c r="D8" s="9"/>
      <c r="E8" s="10"/>
      <c r="F8" s="1"/>
      <c r="G8" s="1"/>
      <c r="H8" s="1"/>
      <c r="J8" s="11"/>
      <c r="K8" s="14"/>
      <c r="L8" s="14"/>
      <c r="M8" s="14"/>
    </row>
    <row r="9" spans="1:13" x14ac:dyDescent="0.25">
      <c r="A9" s="13"/>
      <c r="B9" s="13"/>
      <c r="C9" s="1"/>
      <c r="D9" s="9"/>
      <c r="E9" s="10"/>
      <c r="F9" s="1"/>
      <c r="G9" s="1"/>
      <c r="H9" s="1"/>
      <c r="J9" s="11"/>
      <c r="K9" s="14"/>
      <c r="L9" s="14"/>
      <c r="M9" s="14"/>
    </row>
    <row r="10" spans="1:13" x14ac:dyDescent="0.25">
      <c r="A10" s="13"/>
      <c r="B10" s="13"/>
      <c r="C10" s="1"/>
      <c r="D10" s="9"/>
      <c r="E10" s="10"/>
      <c r="F10" s="1"/>
      <c r="G10" s="1"/>
      <c r="H10" s="1"/>
      <c r="J10" s="11"/>
      <c r="K10" s="14"/>
      <c r="L10" s="14"/>
      <c r="M10" s="14"/>
    </row>
    <row r="11" spans="1:13" x14ac:dyDescent="0.25">
      <c r="A11" s="13"/>
      <c r="B11" s="13"/>
      <c r="C11" s="1"/>
      <c r="D11" s="9"/>
      <c r="E11" s="10"/>
      <c r="F11" s="1"/>
      <c r="G11" s="1"/>
      <c r="H11" s="1"/>
      <c r="J11" s="11"/>
      <c r="K11" s="14"/>
      <c r="L11" s="14"/>
      <c r="M11" s="14"/>
    </row>
    <row r="12" spans="1:13" x14ac:dyDescent="0.25">
      <c r="A12" s="13"/>
      <c r="B12" s="13"/>
      <c r="C12" s="1"/>
      <c r="D12" s="9"/>
      <c r="E12" s="10"/>
      <c r="F12" s="1"/>
      <c r="G12" s="1"/>
      <c r="H12" s="1"/>
      <c r="J12" s="11"/>
      <c r="K12" s="14"/>
      <c r="L12" s="14"/>
      <c r="M12" s="14"/>
    </row>
    <row r="13" spans="1:13" x14ac:dyDescent="0.25">
      <c r="A13" s="13"/>
      <c r="B13" s="13"/>
      <c r="C13" s="1"/>
      <c r="D13" s="9"/>
      <c r="E13" s="10"/>
      <c r="F13" s="1"/>
      <c r="G13" s="1"/>
      <c r="H13" s="1"/>
      <c r="J13" s="11"/>
      <c r="K13" s="14"/>
      <c r="L13" s="14"/>
      <c r="M13" s="14"/>
    </row>
    <row r="14" spans="1:13" x14ac:dyDescent="0.25">
      <c r="A14" s="13"/>
      <c r="B14" s="13"/>
      <c r="C14" s="1"/>
      <c r="D14" s="9"/>
      <c r="E14" s="10"/>
      <c r="F14" s="1"/>
      <c r="G14" s="1"/>
      <c r="H14" s="1"/>
      <c r="J14" s="11"/>
      <c r="K14" s="14"/>
      <c r="L14" s="14"/>
      <c r="M14" s="14"/>
    </row>
    <row r="15" spans="1:13" x14ac:dyDescent="0.25">
      <c r="A15" s="13"/>
      <c r="B15" s="13"/>
      <c r="C15" s="1"/>
      <c r="D15" s="9"/>
      <c r="E15" s="10"/>
      <c r="F15" s="1"/>
      <c r="G15" s="1"/>
      <c r="H15" s="1"/>
      <c r="J15" s="11"/>
      <c r="K15" s="14"/>
      <c r="L15" s="14"/>
      <c r="M15" s="14"/>
    </row>
    <row r="16" spans="1:13" x14ac:dyDescent="0.25">
      <c r="A16" s="13"/>
      <c r="B16" s="13"/>
      <c r="C16" s="1"/>
      <c r="D16" s="9"/>
      <c r="E16" s="10"/>
      <c r="F16" s="1"/>
      <c r="G16" s="1"/>
      <c r="H16" s="1"/>
      <c r="J16" s="11"/>
      <c r="K16" s="14"/>
      <c r="L16" s="14"/>
      <c r="M16" s="14"/>
    </row>
    <row r="17" spans="1:13" x14ac:dyDescent="0.25">
      <c r="A17" s="13"/>
      <c r="B17" s="13"/>
      <c r="C17" s="1"/>
      <c r="D17" s="9"/>
      <c r="E17" s="10"/>
      <c r="F17" s="1"/>
      <c r="G17" s="1"/>
      <c r="H17" s="1"/>
      <c r="J17" s="11"/>
      <c r="K17" s="14"/>
      <c r="L17" s="14"/>
      <c r="M17" s="14"/>
    </row>
    <row r="18" spans="1:13" x14ac:dyDescent="0.25">
      <c r="A18" s="13"/>
      <c r="B18" s="13"/>
      <c r="C18" s="1"/>
      <c r="D18" s="9"/>
      <c r="E18" s="10"/>
      <c r="F18" s="1"/>
      <c r="G18" s="1"/>
      <c r="H18" s="1"/>
      <c r="J18" s="11"/>
      <c r="K18" s="14"/>
      <c r="L18" s="14"/>
      <c r="M18" s="14"/>
    </row>
    <row r="19" spans="1:13" x14ac:dyDescent="0.25">
      <c r="A19" s="13"/>
      <c r="B19" s="13"/>
      <c r="C19" s="1"/>
      <c r="D19" s="9"/>
      <c r="E19" s="10"/>
      <c r="F19" s="1"/>
      <c r="G19" s="1"/>
      <c r="H19" s="1"/>
      <c r="J19" s="11"/>
      <c r="K19" s="14"/>
      <c r="L19" s="14"/>
      <c r="M19" s="14"/>
    </row>
    <row r="20" spans="1:13" x14ac:dyDescent="0.25">
      <c r="A20" s="13"/>
      <c r="B20" s="13"/>
      <c r="C20" s="1"/>
      <c r="D20" s="9"/>
      <c r="E20" s="10"/>
      <c r="F20" s="1"/>
      <c r="G20" s="1"/>
      <c r="H20" s="1"/>
      <c r="J20" s="11"/>
      <c r="K20" s="14"/>
      <c r="L20" s="14"/>
      <c r="M20" s="14"/>
    </row>
    <row r="21" spans="1:13" x14ac:dyDescent="0.25">
      <c r="A21" s="13"/>
      <c r="B21" s="13"/>
      <c r="C21" s="1"/>
      <c r="D21" s="9"/>
      <c r="E21" s="10"/>
      <c r="F21" s="1"/>
      <c r="G21" s="1"/>
      <c r="H21" s="1"/>
      <c r="J21" s="11"/>
      <c r="K21" s="14"/>
      <c r="L21" s="14"/>
      <c r="M21" s="14"/>
    </row>
    <row r="22" spans="1:13" x14ac:dyDescent="0.25">
      <c r="A22" s="13"/>
      <c r="B22" s="13"/>
      <c r="C22" s="1"/>
      <c r="D22" s="9"/>
      <c r="E22" s="10"/>
      <c r="F22" s="1"/>
      <c r="G22" s="1"/>
      <c r="H22" s="1"/>
      <c r="J22" s="11"/>
      <c r="K22" s="14"/>
      <c r="L22" s="14"/>
      <c r="M22" s="14"/>
    </row>
    <row r="23" spans="1:13" x14ac:dyDescent="0.25">
      <c r="A23" s="13"/>
      <c r="B23" s="13"/>
      <c r="C23" s="1"/>
      <c r="D23" s="9"/>
      <c r="E23" s="10"/>
      <c r="F23" s="1"/>
      <c r="G23" s="1"/>
      <c r="H23" s="1"/>
      <c r="J23" s="11"/>
      <c r="K23" s="14"/>
      <c r="L23" s="14"/>
      <c r="M23" s="14"/>
    </row>
    <row r="24" spans="1:13" x14ac:dyDescent="0.25">
      <c r="A24" s="13"/>
      <c r="B24" s="13"/>
      <c r="C24" s="1"/>
      <c r="D24" s="9"/>
      <c r="E24" s="10"/>
      <c r="F24" s="1"/>
      <c r="G24" s="1"/>
      <c r="H24" s="1"/>
      <c r="J24" s="11"/>
      <c r="K24" s="14"/>
      <c r="L24" s="14"/>
      <c r="M24" s="14"/>
    </row>
    <row r="25" spans="1:13" x14ac:dyDescent="0.25">
      <c r="A25" s="13"/>
      <c r="B25" s="13"/>
      <c r="C25" s="1"/>
      <c r="D25" s="9"/>
      <c r="E25" s="10"/>
      <c r="F25" s="1"/>
      <c r="G25" s="1"/>
      <c r="H25" s="1"/>
      <c r="J25" s="11"/>
      <c r="K25" s="14"/>
      <c r="L25" s="14"/>
      <c r="M25" s="14"/>
    </row>
    <row r="26" spans="1:13" x14ac:dyDescent="0.25">
      <c r="A26" s="13"/>
      <c r="B26" s="13"/>
      <c r="C26" s="1"/>
      <c r="D26" s="15"/>
      <c r="E26" s="10"/>
      <c r="F26" s="1"/>
      <c r="G26" s="1"/>
      <c r="H26" s="1"/>
      <c r="J26" s="11"/>
      <c r="K26" s="14"/>
      <c r="L26" s="14"/>
      <c r="M26" s="14"/>
    </row>
    <row r="27" spans="1:13" x14ac:dyDescent="0.25">
      <c r="A27" s="13"/>
      <c r="B27" s="13"/>
      <c r="C27" s="1"/>
      <c r="D27" s="9"/>
      <c r="E27" s="10"/>
      <c r="F27" s="1"/>
      <c r="G27" s="1"/>
      <c r="H27" s="1"/>
      <c r="J27" s="11"/>
      <c r="K27" s="14"/>
      <c r="L27" s="14"/>
      <c r="M27" s="14"/>
    </row>
    <row r="28" spans="1:13" x14ac:dyDescent="0.25">
      <c r="A28" s="13"/>
      <c r="B28" s="13"/>
      <c r="C28" s="1"/>
      <c r="D28" s="9"/>
      <c r="E28" s="10"/>
      <c r="F28" s="1"/>
      <c r="G28" s="1"/>
      <c r="H28" s="1"/>
      <c r="J28" s="11"/>
      <c r="K28" s="14"/>
      <c r="L28" s="14"/>
      <c r="M28" s="14"/>
    </row>
    <row r="29" spans="1:13" x14ac:dyDescent="0.25">
      <c r="A29" s="13"/>
      <c r="B29" s="13"/>
      <c r="C29" s="1"/>
      <c r="D29" s="9"/>
      <c r="E29" s="10"/>
      <c r="F29" s="1"/>
      <c r="G29" s="1"/>
      <c r="H29" s="1"/>
      <c r="J29" s="11"/>
      <c r="K29" s="14"/>
      <c r="L29" s="14"/>
      <c r="M29" s="14"/>
    </row>
    <row r="30" spans="1:13" x14ac:dyDescent="0.25">
      <c r="A30" s="13"/>
      <c r="B30" s="13"/>
      <c r="C30" s="1"/>
      <c r="D30" s="9"/>
      <c r="E30" s="10"/>
      <c r="F30" s="1"/>
      <c r="G30" s="1"/>
      <c r="H30" s="1"/>
      <c r="J30" s="11"/>
      <c r="K30" s="14"/>
      <c r="L30" s="14"/>
      <c r="M30" s="14"/>
    </row>
    <row r="31" spans="1:13" x14ac:dyDescent="0.25">
      <c r="A31" s="13"/>
      <c r="B31" s="13"/>
      <c r="C31" s="1"/>
      <c r="D31" s="15"/>
      <c r="E31" s="10"/>
      <c r="F31" s="1"/>
      <c r="G31" s="1"/>
      <c r="H31" s="1"/>
      <c r="J31" s="11"/>
      <c r="K31" s="14"/>
      <c r="L31" s="14"/>
      <c r="M31" s="14"/>
    </row>
    <row r="32" spans="1:13" x14ac:dyDescent="0.25">
      <c r="A32" s="13"/>
      <c r="B32" s="13"/>
      <c r="C32" s="1"/>
      <c r="D32" s="9"/>
      <c r="E32" s="10"/>
      <c r="F32" s="1"/>
      <c r="G32" s="1"/>
      <c r="H32" s="1"/>
      <c r="J32" s="11"/>
      <c r="K32" s="14"/>
      <c r="L32" s="14"/>
      <c r="M32" s="14"/>
    </row>
    <row r="33" spans="1:13" x14ac:dyDescent="0.25">
      <c r="A33" s="13"/>
      <c r="B33" s="13"/>
      <c r="C33" s="1"/>
      <c r="D33" s="9"/>
      <c r="E33" s="10"/>
      <c r="F33" s="1"/>
      <c r="G33" s="1"/>
      <c r="H33" s="1"/>
      <c r="J33" s="11"/>
      <c r="K33" s="14"/>
      <c r="L33" s="14"/>
      <c r="M33" s="14"/>
    </row>
    <row r="34" spans="1:13" x14ac:dyDescent="0.25">
      <c r="A34" s="13"/>
      <c r="B34" s="13"/>
      <c r="C34" s="1"/>
      <c r="D34" s="9"/>
      <c r="E34" s="10"/>
      <c r="F34" s="1"/>
      <c r="G34" s="1"/>
      <c r="H34" s="1"/>
      <c r="J34" s="11"/>
      <c r="K34" s="14"/>
      <c r="L34" s="14"/>
      <c r="M34" s="14"/>
    </row>
    <row r="35" spans="1:13" x14ac:dyDescent="0.25">
      <c r="A35" s="13"/>
      <c r="B35" s="13"/>
      <c r="C35" s="1"/>
      <c r="D35" s="9"/>
      <c r="E35" s="10"/>
      <c r="F35" s="1"/>
      <c r="G35" s="1"/>
      <c r="H35" s="1"/>
      <c r="J35" s="11"/>
      <c r="K35" s="14"/>
      <c r="L35" s="14"/>
      <c r="M35" s="14"/>
    </row>
    <row r="36" spans="1:13" x14ac:dyDescent="0.25">
      <c r="A36" s="13"/>
      <c r="B36" s="13"/>
      <c r="C36" s="1"/>
      <c r="D36" s="9"/>
      <c r="E36" s="10"/>
      <c r="F36" s="1"/>
      <c r="G36" s="1"/>
      <c r="H36" s="1"/>
      <c r="J36" s="11"/>
      <c r="K36" s="14"/>
      <c r="L36" s="14"/>
      <c r="M36" s="14"/>
    </row>
    <row r="37" spans="1:13" x14ac:dyDescent="0.25">
      <c r="A37" s="13"/>
      <c r="B37" s="13"/>
      <c r="C37" s="1"/>
      <c r="D37" s="15"/>
      <c r="E37" s="10"/>
      <c r="F37" s="1"/>
      <c r="G37" s="1"/>
      <c r="H37" s="1"/>
      <c r="J37" s="11"/>
      <c r="K37" s="14"/>
      <c r="L37" s="14"/>
      <c r="M37" s="14"/>
    </row>
    <row r="38" spans="1:13" x14ac:dyDescent="0.25">
      <c r="A38" s="13"/>
      <c r="B38" s="13"/>
      <c r="C38" s="1"/>
      <c r="D38" s="9"/>
      <c r="E38" s="10"/>
      <c r="F38" s="1"/>
      <c r="G38" s="1"/>
      <c r="H38" s="1"/>
      <c r="J38" s="11"/>
      <c r="K38" s="14"/>
      <c r="L38" s="14"/>
      <c r="M38" s="14"/>
    </row>
    <row r="39" spans="1:13" x14ac:dyDescent="0.25">
      <c r="A39" s="13"/>
      <c r="B39" s="13"/>
      <c r="C39" s="1"/>
      <c r="D39" s="9"/>
      <c r="E39" s="10"/>
      <c r="F39" s="1"/>
      <c r="G39" s="1"/>
      <c r="H39" s="1"/>
      <c r="J39" s="11"/>
      <c r="K39" s="14"/>
      <c r="L39" s="14"/>
      <c r="M39" s="14"/>
    </row>
    <row r="40" spans="1:13" x14ac:dyDescent="0.25">
      <c r="A40" s="13"/>
      <c r="B40" s="13"/>
      <c r="C40" s="1"/>
      <c r="D40" s="9"/>
      <c r="E40" s="10"/>
      <c r="F40" s="1"/>
      <c r="G40" s="1"/>
      <c r="H40" s="1"/>
      <c r="J40" s="11"/>
      <c r="K40" s="14"/>
      <c r="L40" s="14"/>
      <c r="M40" s="14"/>
    </row>
    <row r="41" spans="1:13" x14ac:dyDescent="0.25">
      <c r="A41" s="13"/>
      <c r="B41" s="13"/>
      <c r="C41" s="1"/>
      <c r="D41" s="9"/>
      <c r="E41" s="10"/>
      <c r="F41" s="1"/>
      <c r="G41" s="1"/>
      <c r="H41" s="1"/>
      <c r="J41" s="11"/>
      <c r="K41" s="14"/>
      <c r="L41" s="14"/>
      <c r="M41" s="14"/>
    </row>
    <row r="42" spans="1:13" x14ac:dyDescent="0.25">
      <c r="A42" s="13"/>
      <c r="B42" s="13"/>
      <c r="C42" s="1"/>
      <c r="D42" s="16"/>
      <c r="E42" s="11"/>
      <c r="F42" s="1"/>
      <c r="G42" s="1"/>
      <c r="H42" s="1"/>
      <c r="J42" s="11"/>
      <c r="K42" s="14"/>
      <c r="L42" s="14"/>
      <c r="M42" s="14"/>
    </row>
    <row r="43" spans="1:13" x14ac:dyDescent="0.25">
      <c r="A43" s="13"/>
      <c r="B43" s="13"/>
      <c r="C43" s="1"/>
      <c r="D43" s="9"/>
      <c r="E43" s="10"/>
      <c r="F43" s="1"/>
      <c r="G43" s="1"/>
      <c r="H43" s="1"/>
      <c r="J43" s="11"/>
      <c r="K43" s="14"/>
      <c r="L43" s="14"/>
      <c r="M43" s="14"/>
    </row>
    <row r="44" spans="1:13" x14ac:dyDescent="0.25">
      <c r="A44" s="13"/>
      <c r="B44" s="13"/>
      <c r="C44" s="1"/>
      <c r="D44" s="9"/>
      <c r="E44" s="10"/>
      <c r="F44" s="1"/>
      <c r="G44" s="1"/>
      <c r="H44" s="1"/>
      <c r="J44" s="11"/>
      <c r="K44" s="14"/>
      <c r="L44" s="14"/>
      <c r="M44" s="14"/>
    </row>
    <row r="45" spans="1:13" x14ac:dyDescent="0.25">
      <c r="A45" s="13"/>
      <c r="B45" s="13"/>
      <c r="C45" s="1"/>
      <c r="D45" s="9"/>
      <c r="E45" s="10"/>
      <c r="F45" s="1"/>
      <c r="G45" s="1"/>
      <c r="H45" s="1"/>
      <c r="J45" s="11"/>
      <c r="K45" s="14"/>
      <c r="L45" s="14"/>
      <c r="M45" s="14"/>
    </row>
    <row r="46" spans="1:13" x14ac:dyDescent="0.25">
      <c r="A46" s="13"/>
      <c r="B46" s="13"/>
      <c r="C46" s="1"/>
      <c r="D46" s="16"/>
      <c r="E46" s="11"/>
      <c r="F46" s="1"/>
      <c r="G46" s="1"/>
      <c r="H46" s="1"/>
      <c r="J46" s="11"/>
      <c r="K46" s="14"/>
      <c r="L46" s="14"/>
      <c r="M46" s="14"/>
    </row>
    <row r="47" spans="1:13" x14ac:dyDescent="0.25">
      <c r="A47" s="13"/>
      <c r="B47" s="13"/>
      <c r="C47" s="1"/>
      <c r="D47" s="18"/>
      <c r="E47" s="10"/>
      <c r="F47" s="1"/>
      <c r="G47" s="1"/>
      <c r="H47" s="1"/>
      <c r="J47" s="11"/>
      <c r="K47" s="14"/>
      <c r="L47" s="14"/>
      <c r="M47" s="14"/>
    </row>
    <row r="48" spans="1:13" x14ac:dyDescent="0.25">
      <c r="A48" s="13"/>
      <c r="B48" s="13"/>
      <c r="C48" s="1"/>
      <c r="D48" s="9"/>
      <c r="E48" s="10"/>
      <c r="F48" s="1"/>
      <c r="G48" s="1"/>
      <c r="H48" s="1"/>
      <c r="J48" s="11"/>
      <c r="K48" s="14"/>
      <c r="L48" s="14"/>
      <c r="M48" s="14"/>
    </row>
    <row r="49" spans="1:13" x14ac:dyDescent="0.25">
      <c r="A49" s="13"/>
      <c r="B49" s="13"/>
      <c r="C49" s="1"/>
      <c r="D49" s="9"/>
      <c r="E49" s="10"/>
      <c r="F49" s="1"/>
      <c r="G49" s="1"/>
      <c r="H49" s="1"/>
      <c r="J49" s="11"/>
      <c r="K49" s="14"/>
      <c r="L49" s="14"/>
      <c r="M49" s="14"/>
    </row>
    <row r="50" spans="1:13" x14ac:dyDescent="0.25">
      <c r="A50" s="13"/>
      <c r="B50" s="13"/>
      <c r="C50" s="1"/>
      <c r="D50" s="9"/>
      <c r="E50" s="10"/>
      <c r="F50" s="1"/>
      <c r="G50" s="1"/>
      <c r="H50" s="1"/>
      <c r="J50" s="11"/>
      <c r="K50" s="14"/>
      <c r="L50" s="14"/>
      <c r="M50" s="14"/>
    </row>
    <row r="51" spans="1:13" x14ac:dyDescent="0.25">
      <c r="A51" s="13"/>
      <c r="B51" s="13"/>
      <c r="C51" s="1"/>
      <c r="D51" s="9"/>
      <c r="E51" s="10"/>
      <c r="F51" s="1"/>
      <c r="G51" s="1"/>
      <c r="H51" s="1"/>
      <c r="J51" s="11"/>
      <c r="K51" s="14"/>
      <c r="L51" s="14"/>
      <c r="M51" s="14"/>
    </row>
    <row r="52" spans="1:13" x14ac:dyDescent="0.25">
      <c r="A52" s="13"/>
      <c r="B52" s="13"/>
      <c r="C52" s="1"/>
      <c r="D52" s="15"/>
      <c r="E52" s="10"/>
      <c r="F52" s="1"/>
      <c r="G52" s="1"/>
      <c r="H52" s="1"/>
      <c r="J52" s="11"/>
      <c r="K52" s="14"/>
      <c r="L52" s="14"/>
      <c r="M52" s="14"/>
    </row>
    <row r="53" spans="1:13" x14ac:dyDescent="0.25">
      <c r="A53" s="13"/>
      <c r="B53" s="13"/>
      <c r="C53" s="1"/>
      <c r="D53" s="9"/>
      <c r="E53" s="10"/>
      <c r="F53" s="1"/>
      <c r="G53" s="1"/>
      <c r="H53" s="1"/>
      <c r="J53" s="11"/>
      <c r="K53" s="14"/>
      <c r="L53" s="14"/>
      <c r="M53" s="14"/>
    </row>
    <row r="54" spans="1:13" x14ac:dyDescent="0.25">
      <c r="A54" s="13"/>
      <c r="B54" s="13"/>
      <c r="C54" s="1"/>
      <c r="D54" s="9"/>
      <c r="E54" s="10"/>
      <c r="F54" s="1"/>
      <c r="G54" s="1"/>
      <c r="H54" s="1"/>
      <c r="J54" s="11"/>
      <c r="K54" s="14"/>
      <c r="L54" s="14"/>
      <c r="M54" s="14"/>
    </row>
    <row r="55" spans="1:13" x14ac:dyDescent="0.25">
      <c r="A55" s="13"/>
      <c r="B55" s="13"/>
      <c r="C55" s="1"/>
      <c r="D55" s="9"/>
      <c r="E55" s="10"/>
      <c r="F55" s="1"/>
      <c r="G55" s="1"/>
      <c r="H55" s="1"/>
      <c r="J55" s="11"/>
      <c r="K55" s="14"/>
      <c r="L55" s="14"/>
      <c r="M55" s="14"/>
    </row>
    <row r="56" spans="1:13" x14ac:dyDescent="0.25">
      <c r="A56" s="13"/>
      <c r="B56" s="13"/>
      <c r="C56" s="1"/>
      <c r="D56" s="9"/>
      <c r="E56" s="10"/>
      <c r="F56" s="1"/>
      <c r="G56" s="1"/>
      <c r="H56" s="1"/>
      <c r="J56" s="11"/>
      <c r="K56" s="14"/>
      <c r="L56" s="14"/>
      <c r="M56" s="14"/>
    </row>
    <row r="57" spans="1:13" x14ac:dyDescent="0.25">
      <c r="A57" s="13"/>
      <c r="B57" s="13"/>
      <c r="C57" s="1"/>
      <c r="D57" s="9"/>
      <c r="E57" s="10"/>
      <c r="F57" s="1"/>
      <c r="G57" s="1"/>
      <c r="H57" s="1"/>
      <c r="J57" s="11"/>
      <c r="K57" s="14"/>
      <c r="L57" s="14"/>
      <c r="M57" s="14"/>
    </row>
    <row r="58" spans="1:13" x14ac:dyDescent="0.25">
      <c r="A58" s="13"/>
      <c r="B58" s="13"/>
      <c r="C58" s="1"/>
      <c r="D58" s="9"/>
      <c r="E58" s="10"/>
      <c r="F58" s="1"/>
      <c r="G58" s="1"/>
      <c r="H58" s="1"/>
      <c r="J58" s="11"/>
      <c r="K58" s="14"/>
      <c r="L58" s="14"/>
      <c r="M58" s="14"/>
    </row>
    <row r="59" spans="1:13" x14ac:dyDescent="0.25">
      <c r="A59" s="13"/>
      <c r="B59" s="13"/>
      <c r="C59" s="1"/>
      <c r="D59" s="9"/>
      <c r="E59" s="10"/>
      <c r="F59" s="1"/>
      <c r="G59" s="1"/>
      <c r="H59" s="1"/>
      <c r="J59" s="11"/>
      <c r="K59" s="14"/>
      <c r="L59" s="14"/>
      <c r="M59" s="14"/>
    </row>
  </sheetData>
  <conditionalFormatting sqref="E2:E59">
    <cfRule type="aboveAverage" dxfId="6" priority="1" aboveAverage="0"/>
    <cfRule type="aboveAverage" dxfId="5" priority="2"/>
  </conditionalFormatting>
  <conditionalFormatting sqref="I2:I1048576">
    <cfRule type="containsText" dxfId="4" priority="5" operator="containsText" text="✖">
      <formula>NOT(ISERROR(SEARCH("✖",I2)))</formula>
    </cfRule>
    <cfRule type="containsText" dxfId="3" priority="6" operator="containsText" text="Unlimited">
      <formula>NOT(ISERROR(SEARCH("Unlimited",I2)))</formula>
    </cfRule>
    <cfRule type="containsText" dxfId="2" priority="7" operator="containsText" text="LIMITED">
      <formula>NOT(ISERROR(SEARCH("LIMITED",I2)))</formula>
    </cfRule>
    <cfRule type="containsText" dxfId="1" priority="8" operator="containsText" text="✔">
      <formula>NOT(ISERROR(SEARCH("✔",I2)))</formula>
    </cfRule>
    <cfRule type="containsText" dxfId="0" priority="9" operator="containsText" text="1st Edition">
      <formula>NOT(ISERROR(SEARCH("1st Edition",I2)))</formula>
    </cfRule>
  </conditionalFormatting>
  <pageMargins left="0.7" right="0.7" top="0.75" bottom="0.75" header="0.3" footer="0.3"/>
  <pageSetup paperSize="9" orientation="portrait" verticalDpi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B3A381A-D322-41F2-B8C0-D79AC25BC575}">
          <x14:formula1>
            <xm:f>Formatting!$A$1:$A$8</xm:f>
          </x14:formula1>
          <xm:sqref>I2:I1048576</xm:sqref>
        </x14:dataValidation>
        <x14:dataValidation type="list" allowBlank="1" showInputMessage="1" showErrorMessage="1" xr:uid="{0B8471D2-DA06-4830-B900-9A54FB018ED6}">
          <x14:formula1>
            <xm:f>Formatting!$B$1:$B$3</xm:f>
          </x14:formula1>
          <xm:sqref>B2:B1048576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"/>
  <sheetViews>
    <sheetView workbookViewId="0"/>
  </sheetViews>
  <sheetFormatPr defaultRowHeight="15" x14ac:dyDescent="0.25"/>
  <cols>
    <col min="1" max="1" width="10.28515625" bestFit="1" customWidth="1"/>
    <col min="2" max="2" width="9.5703125" bestFit="1" customWidth="1"/>
  </cols>
  <sheetData>
    <row r="1" spans="1:3" x14ac:dyDescent="0.25">
      <c r="A1" s="3" t="s">
        <v>29</v>
      </c>
      <c r="B1" s="6" t="s">
        <v>11</v>
      </c>
      <c r="C1" s="6" t="s">
        <v>31</v>
      </c>
    </row>
    <row r="2" spans="1:3" x14ac:dyDescent="0.25">
      <c r="A2" s="4" t="s">
        <v>32</v>
      </c>
      <c r="B2" s="6" t="s">
        <v>26</v>
      </c>
    </row>
    <row r="3" spans="1:3" x14ac:dyDescent="0.25">
      <c r="A3" s="2" t="s">
        <v>20</v>
      </c>
      <c r="B3" s="6" t="s">
        <v>22</v>
      </c>
    </row>
    <row r="4" spans="1:3" x14ac:dyDescent="0.25">
      <c r="A4" s="3" t="s">
        <v>16</v>
      </c>
    </row>
    <row r="5" spans="1:3" x14ac:dyDescent="0.25">
      <c r="A5" s="3" t="s">
        <v>25</v>
      </c>
    </row>
    <row r="6" spans="1:3" x14ac:dyDescent="0.25">
      <c r="A6" s="19" t="s">
        <v>33</v>
      </c>
    </row>
    <row r="7" spans="1:3" x14ac:dyDescent="0.25">
      <c r="A7" s="19" t="s">
        <v>34</v>
      </c>
    </row>
    <row r="8" spans="1:3" x14ac:dyDescent="0.25">
      <c r="A8" s="19" t="s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Red-Eyes Black Dragon Collectio</vt:lpstr>
      <vt:lpstr>Formatting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ProfessorShroom</dc:creator>
  <cp:keywords>EPPlus noncommercial use</cp:keywords>
  <dc:description>This workbook has been created with EPPlus licensed to ProfessorShroom under The Polyform Noncommercial License: See https://polyformproject.org/licenses/noncommercial/1.0.0</dc:description>
  <cp:lastModifiedBy>Charlie</cp:lastModifiedBy>
  <dcterms:created xsi:type="dcterms:W3CDTF">2025-09-22T08:07:10Z</dcterms:created>
  <dcterms:modified xsi:type="dcterms:W3CDTF">2025-12-10T11:08:23Z</dcterms:modified>
</cp:coreProperties>
</file>